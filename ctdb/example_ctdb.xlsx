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do\Downloads\"/>
    </mc:Choice>
  </mc:AlternateContent>
  <xr:revisionPtr revIDLastSave="0" documentId="13_ncr:1_{A5099E3F-F78C-4EE5-B245-A4320A42AC4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ADME" sheetId="3" r:id="rId1"/>
    <sheet name="Flight Telemetry" sheetId="1" r:id="rId2"/>
    <sheet name="Packe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B3" i="2"/>
</calcChain>
</file>

<file path=xl/sharedStrings.xml><?xml version="1.0" encoding="utf-8"?>
<sst xmlns="http://schemas.openxmlformats.org/spreadsheetml/2006/main" count="369" uniqueCount="163">
  <si>
    <t>Element</t>
  </si>
  <si>
    <t>Item Name</t>
  </si>
  <si>
    <t>Description</t>
  </si>
  <si>
    <t>TLM ID</t>
  </si>
  <si>
    <t>Type</t>
  </si>
  <si>
    <t>Packet</t>
  </si>
  <si>
    <t>Location</t>
  </si>
  <si>
    <t>Units</t>
  </si>
  <si>
    <t>Conversions</t>
  </si>
  <si>
    <t>Limits</t>
  </si>
  <si>
    <t>Display Format</t>
  </si>
  <si>
    <t>Notes</t>
  </si>
  <si>
    <t>Vendor Mnemonic</t>
  </si>
  <si>
    <t>Subsystem</t>
  </si>
  <si>
    <t>Original Vendor Conversions</t>
  </si>
  <si>
    <t>EXAMPLE</t>
  </si>
  <si>
    <t>SAT_NAME</t>
  </si>
  <si>
    <t>PKT_VERSION</t>
  </si>
  <si>
    <t>CCSDS Primary Header: Version</t>
  </si>
  <si>
    <t>U3</t>
  </si>
  <si>
    <t>/0000:0-2</t>
  </si>
  <si>
    <t>PKT_TYPE</t>
  </si>
  <si>
    <t>CCSDS Primary Header: Type</t>
  </si>
  <si>
    <t>D1</t>
  </si>
  <si>
    <t>/0000:3</t>
  </si>
  <si>
    <t>0/TLM 1/CMD</t>
  </si>
  <si>
    <t>PKT_SEC_HDR_FLAG</t>
  </si>
  <si>
    <t>CCSDS Primary Header: Secondary Header Flag</t>
  </si>
  <si>
    <t>/0000:4</t>
  </si>
  <si>
    <t>0/FALSE 1/TRUE</t>
  </si>
  <si>
    <t>PKT_APID</t>
  </si>
  <si>
    <t>CCSDS Primary Header: APID</t>
  </si>
  <si>
    <t>U11</t>
  </si>
  <si>
    <t>/0000:5-15</t>
  </si>
  <si>
    <t>PKT_SEQ_FLAGS</t>
  </si>
  <si>
    <t>CCSDS Primary Header: Sequence Flags</t>
  </si>
  <si>
    <t>D2</t>
  </si>
  <si>
    <t>/0002:0-1</t>
  </si>
  <si>
    <t>0/FIRST_SEG 1/MID_SEG 2/LAST_SEG 3/NO_SEG</t>
  </si>
  <si>
    <t>PKT_SEQ_COUNT</t>
  </si>
  <si>
    <t>CCSDS Primary Header: Sequence Packet Counter</t>
  </si>
  <si>
    <t>U14</t>
  </si>
  <si>
    <t>/0002:2-15</t>
  </si>
  <si>
    <t>PKT_LENGTH_ENG</t>
  </si>
  <si>
    <t>CCSDS Primary Header: Packet Byte Length</t>
  </si>
  <si>
    <t>U16</t>
  </si>
  <si>
    <t>/0004</t>
  </si>
  <si>
    <t>SC_TIME_SECONDS</t>
  </si>
  <si>
    <t>CCSDS Secondary Header: Packet Creation Time</t>
  </si>
  <si>
    <t>U32</t>
  </si>
  <si>
    <t>/0006</t>
  </si>
  <si>
    <t>Seconds (sec)</t>
  </si>
  <si>
    <t>SC_TIME_SUBSECONDS</t>
  </si>
  <si>
    <t>CCSDS Secondary Header: Packet Creation Subseconds</t>
  </si>
  <si>
    <t>/0010</t>
  </si>
  <si>
    <t>Millisec (msec)</t>
  </si>
  <si>
    <t>User Data: unsigned 8-bit raw value</t>
  </si>
  <si>
    <t>U8</t>
  </si>
  <si>
    <t>/0012</t>
  </si>
  <si>
    <t>USER_D8_ENUM</t>
  </si>
  <si>
    <t>User Data: discrete 8-bit enum conversion</t>
  </si>
  <si>
    <t>D8</t>
  </si>
  <si>
    <t>/0013</t>
  </si>
  <si>
    <t>S16</t>
  </si>
  <si>
    <t>U12</t>
  </si>
  <si>
    <t>/0022</t>
  </si>
  <si>
    <t>/0026</t>
  </si>
  <si>
    <t>USER_TEMP_LINEAR</t>
  </si>
  <si>
    <t>User Data: linear conversion with C0 and C1</t>
  </si>
  <si>
    <t>USER_GAIN_SCI_LINEAR</t>
  </si>
  <si>
    <t>User Data: linear conversion using scientific notation</t>
  </si>
  <si>
    <t>S8</t>
  </si>
  <si>
    <t>Packet Name</t>
  </si>
  <si>
    <t>Derived ID</t>
  </si>
  <si>
    <t>APID</t>
  </si>
  <si>
    <t>Sequence Count</t>
  </si>
  <si>
    <t>Parent</t>
  </si>
  <si>
    <t>TableRowID</t>
  </si>
  <si>
    <t>Partition</t>
  </si>
  <si>
    <t>Storage Rate</t>
  </si>
  <si>
    <t>Storage Priority</t>
  </si>
  <si>
    <t>Byte Size</t>
  </si>
  <si>
    <t>SCTLM</t>
  </si>
  <si>
    <t>HIGH</t>
  </si>
  <si>
    <t>LOW</t>
  </si>
  <si>
    <t>EXAMPLE_PKT1</t>
  </si>
  <si>
    <t>BUS</t>
  </si>
  <si>
    <t>example_pkt1</t>
  </si>
  <si>
    <t>User Data: signed 8-bit raw value</t>
  </si>
  <si>
    <t>USER_U8_DATA</t>
  </si>
  <si>
    <t>USER_S8_DATA</t>
  </si>
  <si>
    <t>USER_U12_UPPER_DATA</t>
  </si>
  <si>
    <t>User Data: unsigned 12-bit raw value (upper 12 bits)</t>
  </si>
  <si>
    <t>/0014:0-11</t>
  </si>
  <si>
    <t>USER_U12_LOWER_DATA</t>
  </si>
  <si>
    <t>User Data: unsigned 12-bit raw value (lower 12 bits)</t>
  </si>
  <si>
    <t>/0016:4-15</t>
  </si>
  <si>
    <t>USER_U16_DATA</t>
  </si>
  <si>
    <t>User Data: unsigned 16-bit raw value</t>
  </si>
  <si>
    <t>/0018</t>
  </si>
  <si>
    <t>USER_S16_DATA</t>
  </si>
  <si>
    <t>User Data: signed 16-bit raw value</t>
  </si>
  <si>
    <t>/0020</t>
  </si>
  <si>
    <t>USER_U32_DATA</t>
  </si>
  <si>
    <t>USER_S32_DATA</t>
  </si>
  <si>
    <t>User Data: unsigned 32-bit raw value</t>
  </si>
  <si>
    <t>User Data: signed 32-bit raw value</t>
  </si>
  <si>
    <t>S32</t>
  </si>
  <si>
    <t>/0030</t>
  </si>
  <si>
    <t>/0031</t>
  </si>
  <si>
    <t>/0033</t>
  </si>
  <si>
    <t>C0=1.5e1 C1=-2.5E-2 C3=-3.2e-5</t>
  </si>
  <si>
    <t>EXAMPLE_PKT1:PKT_VERSION</t>
  </si>
  <si>
    <t>EXAMPLE_PKT1:PKT_TYPE</t>
  </si>
  <si>
    <t>EXAMPLE_PKT1:PKT_SEC_HDR_FLAG</t>
  </si>
  <si>
    <t>EXAMPLE_PKT1:PKT_APID</t>
  </si>
  <si>
    <t>EXAMPLE_PKT1:PKT_SEQ_FLAGS</t>
  </si>
  <si>
    <t>EXAMPLE_PKT1:PKT_SEQ_COUNT</t>
  </si>
  <si>
    <t>EXAMPLE_PKT1:PKT_LENGTH_ENG</t>
  </si>
  <si>
    <t>EXAMPLE_PKT1:SC_TIME_SECONDS</t>
  </si>
  <si>
    <t>EXAMPLE_PKT1:SC_TIME_SUBSECONDS</t>
  </si>
  <si>
    <t>EXAMPLE_PKT1:USER_TEMP_LINEAR</t>
  </si>
  <si>
    <t>EXAMPLE_PKT1:USER_GAIN_SCI_LINEAR</t>
  </si>
  <si>
    <t>RL=-0.9 YL=-0.9 YH=0.9 RH=0.9 DL=0.9</t>
  </si>
  <si>
    <t>0/OFF 1/DEAD 2/ALIVE</t>
  </si>
  <si>
    <t>0/OFF/yel 1/DEAD/red</t>
  </si>
  <si>
    <t>C0=-40.34530 C1=0.014545</t>
  </si>
  <si>
    <t>Any user notes</t>
  </si>
  <si>
    <t>EXAMPLE_PKT2</t>
  </si>
  <si>
    <t>example_pkt2</t>
  </si>
  <si>
    <t>EXAMPLE_PKT2:PKT_VERSION</t>
  </si>
  <si>
    <t>EXAMPLE_PKT2:PKT_TYPE</t>
  </si>
  <si>
    <t>EXAMPLE_PKT2:PKT_SEC_HDR_FLAG</t>
  </si>
  <si>
    <t>EXAMPLE_PKT2:PKT_APID</t>
  </si>
  <si>
    <t>EXAMPLE_PKT2:PKT_SEQ_FLAGS</t>
  </si>
  <si>
    <t>EXAMPLE_PKT2:PKT_SEQ_COUNT</t>
  </si>
  <si>
    <t>EXAMPLE_PKT2:PKT_LENGTH_ENG</t>
  </si>
  <si>
    <t>EXAMPLE_PKT2:SC_TIME_SECONDS</t>
  </si>
  <si>
    <t>EXAMPLE_PKT2:SC_TIME_SUBSECONDS</t>
  </si>
  <si>
    <t>EXAMPLE_PKT2:USER_TEMP_LINEAR</t>
  </si>
  <si>
    <t>EXAMPLE_PKT2:USER_GAIN_SCI_LINEAR</t>
  </si>
  <si>
    <t>Example packet No.1</t>
  </si>
  <si>
    <t>Example packet No.2</t>
  </si>
  <si>
    <t>Any notes</t>
  </si>
  <si>
    <t>HK</t>
  </si>
  <si>
    <t>SCI</t>
  </si>
  <si>
    <t>1. APID parsing: hex string, decimal integer, float-like string.</t>
  </si>
  <si>
    <t>2. Byte Size parsing: integer, blank/None, float-like string.</t>
  </si>
  <si>
    <t>3. Types: U*, D*, S*, I*, F32, F64, lowercase type text.</t>
  </si>
  <si>
    <t>4. Locations: /byte, /byte:bit, /byte:start-end, no leading slash, no leading zeros.</t>
  </si>
  <si>
    <t>5. Groups: primary_header by description/offset, secondary_header by description/offset, user_data.</t>
  </si>
  <si>
    <t>6. Conversions: none, linear C0/C1, linear C1-only, scientific notation, enums, negative enum raw value, labels with spaces, non-breaking-space separator.</t>
  </si>
  <si>
    <t>7. Duplicate item names: USER_DUPLICATE appears twice to exercise generated __2 suffix behavior.</t>
  </si>
  <si>
    <t>- F32 and F64 fields are byte-aligned because the generated decoder requires byte alignment for floats.</t>
  </si>
  <si>
    <t>This workbook provides an example telemetry dictionary layout. The following are the only columns that the decoder generator cares about:</t>
  </si>
  <si>
    <t>- Invalid cases are intentionally excluded.</t>
  </si>
  <si>
    <t>- Flight Telemetry tab: Item Name / Type / Packet / Location / Conversions</t>
  </si>
  <si>
    <t>- Packets tab: Packet Name / APID / Byte Size</t>
  </si>
  <si>
    <t>- Any other tab with the word "Telemetry" in the name will also be processed. All other extra tabs will be ignored</t>
  </si>
  <si>
    <t>Example Telemetry Dictionary that generate_decoder.py can process</t>
  </si>
  <si>
    <t>Accepted cases</t>
  </si>
  <si>
    <t>Celsius   (C)</t>
  </si>
  <si>
    <t>C0=111.342 C1=-0.0812 C2=2.7239e-05 C3=-4.0182e-09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</si>
</sst>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8"/>
      <name val="Calibri"/>
    </font>
    <font>
      <sz val="11"/>
      <color rgb="FF000000"/>
      <name val="Calibri"/>
      <family val="2"/>
      <scheme val="minor"/>
    </font>
    <font>
      <sz val="11"/>
      <name val="Carlito"/>
    </font>
    <font>
      <b/>
      <sz val="16"/>
      <name val="Carlito"/>
    </font>
    <font>
      <b/>
      <sz val="13"/>
      <name val="Carlito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rgb="FFC2C2C2"/>
      </patternFill>
    </fill>
    <fill>
      <patternFill patternType="solid">
        <fgColor theme="1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0" fillId="0" borderId="0" xfId="0" applyAlignment="1">
      <alignment horizontal="left" vertical="center"/>
    </xf>
    <xf numFmtId="0" fontId="0" fillId="2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2" borderId="0" xfId="0" applyFill="1" applyAlignment="1"/>
    <xf numFmtId="0" fontId="0" fillId="0" borderId="0" xfId="0" applyAlignment="1"/>
    <xf numFmtId="0" fontId="4" fillId="0" borderId="0" xfId="0" applyFont="1"/>
    <xf numFmtId="0" fontId="6" fillId="5" borderId="0" xfId="1" applyFont="1" applyFill="1" applyAlignment="1">
      <alignment wrapText="1"/>
    </xf>
    <xf numFmtId="0" fontId="5" fillId="0" borderId="0" xfId="1"/>
    <xf numFmtId="0" fontId="5" fillId="0" borderId="0" xfId="1" applyAlignment="1">
      <alignment wrapText="1"/>
    </xf>
    <xf numFmtId="0" fontId="7" fillId="6" borderId="0" xfId="1" applyFont="1" applyFill="1" applyAlignment="1">
      <alignment wrapText="1"/>
    </xf>
    <xf numFmtId="0" fontId="5" fillId="0" borderId="0" xfId="1" quotePrefix="1" applyAlignment="1">
      <alignment wrapText="1"/>
    </xf>
  </cellXfs>
  <cellStyles count="2">
    <cellStyle name="Normal" xfId="0" builtinId="0"/>
    <cellStyle name="Normal 2" xfId="1" xr:uid="{5751D822-B6C3-4A61-86A8-2B83C1A3CC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0B18-EA22-44FA-8B71-C775A0360F0D}">
  <dimension ref="A1:A21"/>
  <sheetViews>
    <sheetView tabSelected="1" workbookViewId="0"/>
  </sheetViews>
  <sheetFormatPr defaultRowHeight="13.8"/>
  <cols>
    <col min="1" max="1" width="132.62890625" style="12" customWidth="1"/>
    <col min="2" max="16384" width="8.83984375" style="12"/>
  </cols>
  <sheetData>
    <row r="1" spans="1:1" ht="20.100000000000001">
      <c r="A1" s="11" t="s">
        <v>159</v>
      </c>
    </row>
    <row r="2" spans="1:1">
      <c r="A2" s="13"/>
    </row>
    <row r="3" spans="1:1">
      <c r="A3" s="13" t="s">
        <v>154</v>
      </c>
    </row>
    <row r="4" spans="1:1">
      <c r="A4" s="15" t="s">
        <v>156</v>
      </c>
    </row>
    <row r="5" spans="1:1">
      <c r="A5" s="15" t="s">
        <v>157</v>
      </c>
    </row>
    <row r="6" spans="1:1">
      <c r="A6" s="15" t="s">
        <v>158</v>
      </c>
    </row>
    <row r="7" spans="1:1">
      <c r="A7" s="13"/>
    </row>
    <row r="8" spans="1:1" ht="16.5">
      <c r="A8" s="14" t="s">
        <v>160</v>
      </c>
    </row>
    <row r="9" spans="1:1">
      <c r="A9" s="13" t="s">
        <v>146</v>
      </c>
    </row>
    <row r="10" spans="1:1">
      <c r="A10" s="13" t="s">
        <v>147</v>
      </c>
    </row>
    <row r="11" spans="1:1">
      <c r="A11" s="13" t="s">
        <v>148</v>
      </c>
    </row>
    <row r="12" spans="1:1">
      <c r="A12" s="13" t="s">
        <v>149</v>
      </c>
    </row>
    <row r="13" spans="1:1">
      <c r="A13" s="13" t="s">
        <v>150</v>
      </c>
    </row>
    <row r="14" spans="1:1" ht="13.2" customHeight="1">
      <c r="A14" s="13" t="s">
        <v>151</v>
      </c>
    </row>
    <row r="15" spans="1:1">
      <c r="A15" s="13" t="s">
        <v>152</v>
      </c>
    </row>
    <row r="16" spans="1:1" ht="16.5">
      <c r="A16" s="14"/>
    </row>
    <row r="17" spans="1:1">
      <c r="A17" s="13" t="s">
        <v>11</v>
      </c>
    </row>
    <row r="18" spans="1:1">
      <c r="A18" s="15" t="s">
        <v>153</v>
      </c>
    </row>
    <row r="19" spans="1:1">
      <c r="A19" s="15" t="s">
        <v>155</v>
      </c>
    </row>
    <row r="20" spans="1:1">
      <c r="A20" s="13"/>
    </row>
    <row r="21" spans="1:1">
      <c r="A21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workbookViewId="0"/>
  </sheetViews>
  <sheetFormatPr defaultRowHeight="14.4"/>
  <cols>
    <col min="1" max="1" width="10.734375" customWidth="1"/>
    <col min="2" max="2" width="24.5234375" customWidth="1"/>
    <col min="3" max="3" width="60.83984375" customWidth="1"/>
    <col min="4" max="5" width="10.20703125" customWidth="1"/>
    <col min="6" max="6" width="18.47265625" bestFit="1" customWidth="1"/>
    <col min="7" max="7" width="10.20703125" customWidth="1"/>
    <col min="8" max="8" width="13.20703125" customWidth="1"/>
    <col min="9" max="9" width="26.47265625" customWidth="1"/>
    <col min="10" max="10" width="37.734375" customWidth="1"/>
    <col min="11" max="11" width="13.1015625" customWidth="1"/>
    <col min="12" max="12" width="50.3125" customWidth="1"/>
    <col min="13" max="13" width="38.1015625" customWidth="1"/>
    <col min="14" max="14" width="9.68359375" customWidth="1"/>
    <col min="15" max="15" width="26.62890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 t="s">
        <v>85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3" t="s">
        <v>16</v>
      </c>
      <c r="B4" s="3" t="s">
        <v>17</v>
      </c>
      <c r="C4" t="s">
        <v>18</v>
      </c>
      <c r="E4" t="s">
        <v>19</v>
      </c>
      <c r="F4" s="3" t="s">
        <v>87</v>
      </c>
      <c r="G4" s="3" t="s">
        <v>20</v>
      </c>
      <c r="K4" s="3"/>
      <c r="L4" s="3"/>
      <c r="M4" s="3" t="s">
        <v>112</v>
      </c>
      <c r="N4" s="3" t="s">
        <v>15</v>
      </c>
      <c r="O4" s="3"/>
    </row>
    <row r="5" spans="1:15">
      <c r="A5" s="3" t="s">
        <v>16</v>
      </c>
      <c r="B5" s="3" t="s">
        <v>21</v>
      </c>
      <c r="C5" t="s">
        <v>22</v>
      </c>
      <c r="E5" t="s">
        <v>23</v>
      </c>
      <c r="F5" s="3" t="s">
        <v>87</v>
      </c>
      <c r="G5" s="3" t="s">
        <v>24</v>
      </c>
      <c r="I5" t="s">
        <v>25</v>
      </c>
      <c r="K5" s="3"/>
      <c r="L5" s="3"/>
      <c r="M5" s="3" t="s">
        <v>113</v>
      </c>
      <c r="N5" s="3" t="s">
        <v>15</v>
      </c>
      <c r="O5" s="3"/>
    </row>
    <row r="6" spans="1:15">
      <c r="A6" s="3" t="s">
        <v>16</v>
      </c>
      <c r="B6" s="3" t="s">
        <v>26</v>
      </c>
      <c r="C6" t="s">
        <v>27</v>
      </c>
      <c r="E6" t="s">
        <v>23</v>
      </c>
      <c r="F6" s="3" t="s">
        <v>87</v>
      </c>
      <c r="G6" s="3" t="s">
        <v>28</v>
      </c>
      <c r="I6" t="s">
        <v>29</v>
      </c>
      <c r="K6" s="3"/>
      <c r="L6" s="3"/>
      <c r="M6" s="3" t="s">
        <v>114</v>
      </c>
      <c r="N6" s="3" t="s">
        <v>15</v>
      </c>
      <c r="O6" s="3"/>
    </row>
    <row r="7" spans="1:15">
      <c r="A7" s="3" t="s">
        <v>16</v>
      </c>
      <c r="B7" s="3" t="s">
        <v>30</v>
      </c>
      <c r="C7" t="s">
        <v>31</v>
      </c>
      <c r="E7" t="s">
        <v>32</v>
      </c>
      <c r="F7" s="3" t="s">
        <v>87</v>
      </c>
      <c r="G7" s="3" t="s">
        <v>33</v>
      </c>
      <c r="K7" s="3"/>
      <c r="L7" s="3"/>
      <c r="M7" s="3" t="s">
        <v>115</v>
      </c>
      <c r="N7" s="3" t="s">
        <v>15</v>
      </c>
      <c r="O7" s="3"/>
    </row>
    <row r="8" spans="1:15">
      <c r="A8" s="3" t="s">
        <v>16</v>
      </c>
      <c r="B8" s="3" t="s">
        <v>34</v>
      </c>
      <c r="C8" t="s">
        <v>35</v>
      </c>
      <c r="E8" t="s">
        <v>36</v>
      </c>
      <c r="F8" s="3" t="s">
        <v>87</v>
      </c>
      <c r="G8" s="3" t="s">
        <v>37</v>
      </c>
      <c r="I8" t="s">
        <v>38</v>
      </c>
      <c r="K8" s="3"/>
      <c r="L8" s="3"/>
      <c r="M8" s="3" t="s">
        <v>116</v>
      </c>
      <c r="N8" s="3" t="s">
        <v>15</v>
      </c>
      <c r="O8" s="3"/>
    </row>
    <row r="9" spans="1:15">
      <c r="A9" s="3" t="s">
        <v>16</v>
      </c>
      <c r="B9" s="3" t="s">
        <v>39</v>
      </c>
      <c r="C9" t="s">
        <v>40</v>
      </c>
      <c r="E9" t="s">
        <v>41</v>
      </c>
      <c r="F9" s="3" t="s">
        <v>87</v>
      </c>
      <c r="G9" s="3" t="s">
        <v>42</v>
      </c>
      <c r="K9" s="3"/>
      <c r="L9" s="3"/>
      <c r="M9" s="3" t="s">
        <v>117</v>
      </c>
      <c r="N9" s="3" t="s">
        <v>15</v>
      </c>
      <c r="O9" s="3"/>
    </row>
    <row r="10" spans="1:15">
      <c r="A10" s="3" t="s">
        <v>16</v>
      </c>
      <c r="B10" s="3" t="s">
        <v>43</v>
      </c>
      <c r="C10" t="s">
        <v>44</v>
      </c>
      <c r="E10" t="s">
        <v>45</v>
      </c>
      <c r="F10" s="3" t="s">
        <v>87</v>
      </c>
      <c r="G10" s="3" t="s">
        <v>46</v>
      </c>
      <c r="K10" s="3"/>
      <c r="L10" s="3"/>
      <c r="M10" s="3" t="s">
        <v>118</v>
      </c>
      <c r="N10" s="3" t="s">
        <v>15</v>
      </c>
      <c r="O10" s="3"/>
    </row>
    <row r="11" spans="1:15">
      <c r="A11" s="3" t="s">
        <v>16</v>
      </c>
      <c r="B11" s="3" t="s">
        <v>47</v>
      </c>
      <c r="C11" t="s">
        <v>48</v>
      </c>
      <c r="E11" t="s">
        <v>49</v>
      </c>
      <c r="F11" s="3" t="s">
        <v>87</v>
      </c>
      <c r="G11" s="3" t="s">
        <v>50</v>
      </c>
      <c r="H11" t="s">
        <v>51</v>
      </c>
      <c r="K11" s="3"/>
      <c r="L11" s="3"/>
      <c r="M11" s="3" t="s">
        <v>119</v>
      </c>
      <c r="N11" s="3" t="s">
        <v>15</v>
      </c>
      <c r="O11" s="3"/>
    </row>
    <row r="12" spans="1:15">
      <c r="A12" s="3" t="s">
        <v>16</v>
      </c>
      <c r="B12" s="3" t="s">
        <v>52</v>
      </c>
      <c r="C12" t="s">
        <v>53</v>
      </c>
      <c r="E12" t="s">
        <v>45</v>
      </c>
      <c r="F12" s="3" t="s">
        <v>87</v>
      </c>
      <c r="G12" s="3" t="s">
        <v>54</v>
      </c>
      <c r="H12" t="s">
        <v>55</v>
      </c>
      <c r="K12" s="3"/>
      <c r="L12" s="3"/>
      <c r="M12" s="3" t="s">
        <v>120</v>
      </c>
      <c r="N12" s="3" t="s">
        <v>15</v>
      </c>
      <c r="O12" s="3"/>
    </row>
    <row r="13" spans="1:15">
      <c r="A13" s="3" t="s">
        <v>16</v>
      </c>
      <c r="B13" s="3" t="s">
        <v>89</v>
      </c>
      <c r="C13" s="3" t="s">
        <v>56</v>
      </c>
      <c r="D13" s="3"/>
      <c r="E13" s="3" t="s">
        <v>57</v>
      </c>
      <c r="F13" s="3" t="s">
        <v>87</v>
      </c>
      <c r="G13" s="3" t="s">
        <v>58</v>
      </c>
      <c r="J13" s="10" t="s">
        <v>123</v>
      </c>
      <c r="K13" s="3"/>
      <c r="L13" s="3" t="s">
        <v>127</v>
      </c>
      <c r="M13" s="3"/>
      <c r="N13" s="3"/>
      <c r="O13" s="3"/>
    </row>
    <row r="14" spans="1:15">
      <c r="A14" s="3" t="s">
        <v>16</v>
      </c>
      <c r="B14" s="3" t="s">
        <v>90</v>
      </c>
      <c r="C14" s="3" t="s">
        <v>88</v>
      </c>
      <c r="D14" s="3"/>
      <c r="E14" s="3" t="s">
        <v>71</v>
      </c>
      <c r="F14" s="3" t="s">
        <v>87</v>
      </c>
      <c r="G14" s="3" t="s">
        <v>62</v>
      </c>
      <c r="J14" s="10" t="s">
        <v>123</v>
      </c>
      <c r="K14" s="3"/>
      <c r="L14" s="3"/>
      <c r="M14" s="3"/>
      <c r="N14" s="3"/>
      <c r="O14" s="3"/>
    </row>
    <row r="15" spans="1:15">
      <c r="A15" s="3" t="s">
        <v>16</v>
      </c>
      <c r="B15" s="3" t="s">
        <v>91</v>
      </c>
      <c r="C15" s="3" t="s">
        <v>92</v>
      </c>
      <c r="D15" s="3"/>
      <c r="E15" s="3" t="s">
        <v>64</v>
      </c>
      <c r="F15" s="3" t="s">
        <v>87</v>
      </c>
      <c r="G15" s="3" t="s">
        <v>93</v>
      </c>
      <c r="J15" s="10" t="s">
        <v>123</v>
      </c>
      <c r="K15" s="3"/>
      <c r="L15" s="3"/>
      <c r="M15" s="3"/>
      <c r="N15" s="3"/>
      <c r="O15" s="3"/>
    </row>
    <row r="16" spans="1:15">
      <c r="A16" s="3" t="s">
        <v>16</v>
      </c>
      <c r="B16" s="3" t="s">
        <v>94</v>
      </c>
      <c r="C16" s="3" t="s">
        <v>95</v>
      </c>
      <c r="D16" s="3"/>
      <c r="E16" s="3" t="s">
        <v>64</v>
      </c>
      <c r="F16" s="3" t="s">
        <v>87</v>
      </c>
      <c r="G16" s="3" t="s">
        <v>96</v>
      </c>
      <c r="K16" s="3"/>
      <c r="L16" s="3"/>
      <c r="M16" s="3"/>
      <c r="N16" s="3"/>
      <c r="O16" s="3"/>
    </row>
    <row r="17" spans="1:15">
      <c r="A17" s="3" t="s">
        <v>16</v>
      </c>
      <c r="B17" s="3" t="s">
        <v>97</v>
      </c>
      <c r="C17" s="3" t="s">
        <v>98</v>
      </c>
      <c r="D17" s="3"/>
      <c r="E17" s="3" t="s">
        <v>45</v>
      </c>
      <c r="F17" s="3" t="s">
        <v>87</v>
      </c>
      <c r="G17" s="3" t="s">
        <v>99</v>
      </c>
      <c r="K17" s="3"/>
      <c r="L17" s="3"/>
      <c r="M17" s="3"/>
      <c r="N17" s="3"/>
      <c r="O17" s="3"/>
    </row>
    <row r="18" spans="1:15">
      <c r="A18" s="3" t="s">
        <v>16</v>
      </c>
      <c r="B18" s="3" t="s">
        <v>100</v>
      </c>
      <c r="C18" s="3" t="s">
        <v>101</v>
      </c>
      <c r="D18" s="3"/>
      <c r="E18" s="3" t="s">
        <v>63</v>
      </c>
      <c r="F18" s="3" t="s">
        <v>87</v>
      </c>
      <c r="G18" s="3" t="s">
        <v>102</v>
      </c>
      <c r="K18" s="3"/>
      <c r="L18" s="3"/>
      <c r="M18" s="3"/>
      <c r="N18" s="3"/>
      <c r="O18" s="3"/>
    </row>
    <row r="19" spans="1:15">
      <c r="A19" s="3" t="s">
        <v>16</v>
      </c>
      <c r="B19" s="3" t="s">
        <v>103</v>
      </c>
      <c r="C19" s="3" t="s">
        <v>105</v>
      </c>
      <c r="D19" s="3"/>
      <c r="E19" s="3" t="s">
        <v>49</v>
      </c>
      <c r="F19" s="3" t="s">
        <v>87</v>
      </c>
      <c r="G19" s="3" t="s">
        <v>65</v>
      </c>
      <c r="K19" s="3"/>
      <c r="L19" s="3"/>
      <c r="M19" s="3"/>
      <c r="N19" s="3"/>
      <c r="O19" s="3"/>
    </row>
    <row r="20" spans="1:15">
      <c r="A20" s="3" t="s">
        <v>16</v>
      </c>
      <c r="B20" s="3" t="s">
        <v>104</v>
      </c>
      <c r="C20" s="3" t="s">
        <v>106</v>
      </c>
      <c r="D20" s="3"/>
      <c r="E20" s="3" t="s">
        <v>107</v>
      </c>
      <c r="F20" s="3" t="s">
        <v>87</v>
      </c>
      <c r="G20" s="3" t="s">
        <v>66</v>
      </c>
      <c r="K20" s="3"/>
      <c r="L20" s="3"/>
      <c r="M20" s="3"/>
      <c r="N20" s="3"/>
      <c r="O20" s="3"/>
    </row>
    <row r="21" spans="1:15">
      <c r="A21" s="3" t="s">
        <v>16</v>
      </c>
      <c r="B21" s="3" t="s">
        <v>59</v>
      </c>
      <c r="C21" s="3" t="s">
        <v>60</v>
      </c>
      <c r="D21" s="3"/>
      <c r="E21" s="3" t="s">
        <v>61</v>
      </c>
      <c r="F21" s="3" t="s">
        <v>87</v>
      </c>
      <c r="G21" s="3" t="s">
        <v>108</v>
      </c>
      <c r="H21" s="3"/>
      <c r="I21" s="10" t="s">
        <v>124</v>
      </c>
      <c r="J21" s="10" t="s">
        <v>125</v>
      </c>
      <c r="K21" s="3"/>
      <c r="L21" s="3"/>
      <c r="M21" s="3"/>
      <c r="N21" s="3"/>
      <c r="O21" s="3"/>
    </row>
    <row r="22" spans="1:15">
      <c r="A22" s="3" t="s">
        <v>16</v>
      </c>
      <c r="B22" s="3" t="s">
        <v>67</v>
      </c>
      <c r="C22" s="3" t="s">
        <v>68</v>
      </c>
      <c r="D22" s="3"/>
      <c r="E22" s="3" t="s">
        <v>45</v>
      </c>
      <c r="F22" s="3" t="s">
        <v>87</v>
      </c>
      <c r="G22" s="3" t="s">
        <v>109</v>
      </c>
      <c r="H22" s="10" t="s">
        <v>161</v>
      </c>
      <c r="I22" s="3" t="s">
        <v>126</v>
      </c>
      <c r="J22" s="3"/>
      <c r="K22" s="3"/>
      <c r="L22" s="3"/>
      <c r="M22" s="3" t="s">
        <v>121</v>
      </c>
      <c r="N22" s="3" t="s">
        <v>15</v>
      </c>
      <c r="O22" s="3"/>
    </row>
    <row r="23" spans="1:15">
      <c r="A23" s="3" t="s">
        <v>16</v>
      </c>
      <c r="B23" s="3" t="s">
        <v>69</v>
      </c>
      <c r="C23" s="3" t="s">
        <v>70</v>
      </c>
      <c r="D23" s="3"/>
      <c r="E23" s="3" t="s">
        <v>45</v>
      </c>
      <c r="F23" s="3" t="s">
        <v>87</v>
      </c>
      <c r="G23" s="3" t="s">
        <v>110</v>
      </c>
      <c r="H23" s="3"/>
      <c r="I23" s="3" t="s">
        <v>162</v>
      </c>
      <c r="J23" s="3"/>
      <c r="K23" s="3"/>
      <c r="L23" s="3"/>
      <c r="M23" s="3" t="s">
        <v>122</v>
      </c>
      <c r="N23" s="3" t="s">
        <v>15</v>
      </c>
      <c r="O23" s="3"/>
    </row>
    <row r="24" spans="1: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2"/>
      <c r="B26" s="2" t="s">
        <v>128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3" t="s">
        <v>16</v>
      </c>
      <c r="B27" s="3" t="s">
        <v>17</v>
      </c>
      <c r="C27" t="s">
        <v>18</v>
      </c>
      <c r="E27" t="s">
        <v>19</v>
      </c>
      <c r="F27" s="3" t="s">
        <v>129</v>
      </c>
      <c r="G27" s="3" t="s">
        <v>20</v>
      </c>
      <c r="K27" s="3"/>
      <c r="L27" s="3"/>
      <c r="M27" s="3" t="s">
        <v>130</v>
      </c>
      <c r="N27" s="3" t="s">
        <v>15</v>
      </c>
      <c r="O27" s="3"/>
    </row>
    <row r="28" spans="1:15">
      <c r="A28" s="3" t="s">
        <v>16</v>
      </c>
      <c r="B28" s="3" t="s">
        <v>21</v>
      </c>
      <c r="C28" t="s">
        <v>22</v>
      </c>
      <c r="E28" t="s">
        <v>23</v>
      </c>
      <c r="F28" s="3" t="s">
        <v>129</v>
      </c>
      <c r="G28" s="3" t="s">
        <v>24</v>
      </c>
      <c r="I28" t="s">
        <v>25</v>
      </c>
      <c r="K28" s="3"/>
      <c r="L28" s="3"/>
      <c r="M28" s="3" t="s">
        <v>131</v>
      </c>
      <c r="N28" s="3" t="s">
        <v>15</v>
      </c>
      <c r="O28" s="3"/>
    </row>
    <row r="29" spans="1:15">
      <c r="A29" s="3" t="s">
        <v>16</v>
      </c>
      <c r="B29" s="3" t="s">
        <v>26</v>
      </c>
      <c r="C29" t="s">
        <v>27</v>
      </c>
      <c r="E29" t="s">
        <v>23</v>
      </c>
      <c r="F29" s="3" t="s">
        <v>129</v>
      </c>
      <c r="G29" s="3" t="s">
        <v>28</v>
      </c>
      <c r="I29" t="s">
        <v>29</v>
      </c>
      <c r="K29" s="3"/>
      <c r="L29" s="3"/>
      <c r="M29" s="3" t="s">
        <v>132</v>
      </c>
      <c r="N29" s="3" t="s">
        <v>15</v>
      </c>
      <c r="O29" s="3"/>
    </row>
    <row r="30" spans="1:15">
      <c r="A30" s="3" t="s">
        <v>16</v>
      </c>
      <c r="B30" s="3" t="s">
        <v>30</v>
      </c>
      <c r="C30" t="s">
        <v>31</v>
      </c>
      <c r="E30" t="s">
        <v>32</v>
      </c>
      <c r="F30" s="3" t="s">
        <v>129</v>
      </c>
      <c r="G30" s="3" t="s">
        <v>33</v>
      </c>
      <c r="K30" s="3"/>
      <c r="L30" s="3"/>
      <c r="M30" s="3" t="s">
        <v>133</v>
      </c>
      <c r="N30" s="3" t="s">
        <v>15</v>
      </c>
      <c r="O30" s="3"/>
    </row>
    <row r="31" spans="1:15">
      <c r="A31" s="3" t="s">
        <v>16</v>
      </c>
      <c r="B31" s="3" t="s">
        <v>34</v>
      </c>
      <c r="C31" t="s">
        <v>35</v>
      </c>
      <c r="E31" t="s">
        <v>36</v>
      </c>
      <c r="F31" s="3" t="s">
        <v>129</v>
      </c>
      <c r="G31" s="3" t="s">
        <v>37</v>
      </c>
      <c r="I31" t="s">
        <v>38</v>
      </c>
      <c r="K31" s="3"/>
      <c r="L31" s="3"/>
      <c r="M31" s="3" t="s">
        <v>134</v>
      </c>
      <c r="N31" s="3" t="s">
        <v>15</v>
      </c>
      <c r="O31" s="3"/>
    </row>
    <row r="32" spans="1:15">
      <c r="A32" s="3" t="s">
        <v>16</v>
      </c>
      <c r="B32" s="3" t="s">
        <v>39</v>
      </c>
      <c r="C32" t="s">
        <v>40</v>
      </c>
      <c r="E32" t="s">
        <v>41</v>
      </c>
      <c r="F32" s="3" t="s">
        <v>129</v>
      </c>
      <c r="G32" s="3" t="s">
        <v>42</v>
      </c>
      <c r="K32" s="3"/>
      <c r="L32" s="3"/>
      <c r="M32" s="3" t="s">
        <v>135</v>
      </c>
      <c r="N32" s="3" t="s">
        <v>15</v>
      </c>
      <c r="O32" s="3"/>
    </row>
    <row r="33" spans="1:15">
      <c r="A33" s="3" t="s">
        <v>16</v>
      </c>
      <c r="B33" s="3" t="s">
        <v>43</v>
      </c>
      <c r="C33" t="s">
        <v>44</v>
      </c>
      <c r="E33" t="s">
        <v>45</v>
      </c>
      <c r="F33" s="3" t="s">
        <v>129</v>
      </c>
      <c r="G33" s="3" t="s">
        <v>46</v>
      </c>
      <c r="K33" s="3"/>
      <c r="L33" s="3"/>
      <c r="M33" s="3" t="s">
        <v>136</v>
      </c>
      <c r="N33" s="3" t="s">
        <v>15</v>
      </c>
      <c r="O33" s="3"/>
    </row>
    <row r="34" spans="1:15">
      <c r="A34" s="3" t="s">
        <v>16</v>
      </c>
      <c r="B34" s="3" t="s">
        <v>47</v>
      </c>
      <c r="C34" t="s">
        <v>48</v>
      </c>
      <c r="E34" t="s">
        <v>49</v>
      </c>
      <c r="F34" s="3" t="s">
        <v>129</v>
      </c>
      <c r="G34" s="3" t="s">
        <v>50</v>
      </c>
      <c r="H34" t="s">
        <v>51</v>
      </c>
      <c r="K34" s="3"/>
      <c r="L34" s="3"/>
      <c r="M34" s="3" t="s">
        <v>137</v>
      </c>
      <c r="N34" s="3" t="s">
        <v>15</v>
      </c>
      <c r="O34" s="3"/>
    </row>
    <row r="35" spans="1:15">
      <c r="A35" s="3" t="s">
        <v>16</v>
      </c>
      <c r="B35" s="3" t="s">
        <v>52</v>
      </c>
      <c r="C35" t="s">
        <v>53</v>
      </c>
      <c r="E35" t="s">
        <v>45</v>
      </c>
      <c r="F35" s="3" t="s">
        <v>129</v>
      </c>
      <c r="G35" s="3" t="s">
        <v>54</v>
      </c>
      <c r="H35" t="s">
        <v>55</v>
      </c>
      <c r="K35" s="3"/>
      <c r="L35" s="3"/>
      <c r="M35" s="3" t="s">
        <v>138</v>
      </c>
      <c r="N35" s="3" t="s">
        <v>15</v>
      </c>
      <c r="O35" s="3"/>
    </row>
    <row r="36" spans="1:15">
      <c r="A36" s="3" t="s">
        <v>16</v>
      </c>
      <c r="B36" s="3" t="s">
        <v>89</v>
      </c>
      <c r="C36" s="3" t="s">
        <v>56</v>
      </c>
      <c r="D36" s="3"/>
      <c r="E36" s="3" t="s">
        <v>57</v>
      </c>
      <c r="F36" s="3" t="s">
        <v>129</v>
      </c>
      <c r="G36" s="3" t="s">
        <v>58</v>
      </c>
      <c r="J36" s="10" t="s">
        <v>123</v>
      </c>
      <c r="K36" s="3"/>
      <c r="L36" s="3" t="s">
        <v>127</v>
      </c>
      <c r="M36" s="3"/>
      <c r="N36" s="3"/>
      <c r="O36" s="3"/>
    </row>
    <row r="37" spans="1:15">
      <c r="A37" s="3" t="s">
        <v>16</v>
      </c>
      <c r="B37" s="3" t="s">
        <v>90</v>
      </c>
      <c r="C37" s="3" t="s">
        <v>88</v>
      </c>
      <c r="D37" s="3"/>
      <c r="E37" s="3" t="s">
        <v>71</v>
      </c>
      <c r="F37" s="3" t="s">
        <v>129</v>
      </c>
      <c r="G37" s="3" t="s">
        <v>62</v>
      </c>
      <c r="J37" s="10" t="s">
        <v>123</v>
      </c>
      <c r="K37" s="3"/>
      <c r="L37" s="3"/>
      <c r="M37" s="3"/>
      <c r="N37" s="3"/>
      <c r="O37" s="3"/>
    </row>
    <row r="38" spans="1:15">
      <c r="A38" s="3" t="s">
        <v>16</v>
      </c>
      <c r="B38" s="3" t="s">
        <v>91</v>
      </c>
      <c r="C38" s="3" t="s">
        <v>92</v>
      </c>
      <c r="D38" s="3"/>
      <c r="E38" s="3" t="s">
        <v>64</v>
      </c>
      <c r="F38" s="3" t="s">
        <v>129</v>
      </c>
      <c r="G38" s="3" t="s">
        <v>93</v>
      </c>
      <c r="J38" s="10" t="s">
        <v>123</v>
      </c>
      <c r="K38" s="3"/>
      <c r="L38" s="3"/>
      <c r="M38" s="3"/>
      <c r="N38" s="3"/>
      <c r="O38" s="3"/>
    </row>
    <row r="39" spans="1:15">
      <c r="A39" s="3" t="s">
        <v>16</v>
      </c>
      <c r="B39" s="3" t="s">
        <v>94</v>
      </c>
      <c r="C39" s="3" t="s">
        <v>95</v>
      </c>
      <c r="D39" s="3"/>
      <c r="E39" s="3" t="s">
        <v>64</v>
      </c>
      <c r="F39" s="3" t="s">
        <v>129</v>
      </c>
      <c r="G39" s="3" t="s">
        <v>96</v>
      </c>
      <c r="K39" s="3"/>
      <c r="L39" s="3"/>
      <c r="M39" s="3"/>
      <c r="N39" s="3"/>
      <c r="O39" s="3"/>
    </row>
    <row r="40" spans="1:15">
      <c r="A40" s="3" t="s">
        <v>16</v>
      </c>
      <c r="B40" s="3" t="s">
        <v>97</v>
      </c>
      <c r="C40" s="3" t="s">
        <v>98</v>
      </c>
      <c r="D40" s="3"/>
      <c r="E40" s="3" t="s">
        <v>45</v>
      </c>
      <c r="F40" s="3" t="s">
        <v>129</v>
      </c>
      <c r="G40" s="3" t="s">
        <v>99</v>
      </c>
      <c r="K40" s="3"/>
      <c r="L40" s="3"/>
      <c r="M40" s="3"/>
      <c r="N40" s="3"/>
      <c r="O40" s="3"/>
    </row>
    <row r="41" spans="1:15">
      <c r="A41" s="3" t="s">
        <v>16</v>
      </c>
      <c r="B41" s="3" t="s">
        <v>100</v>
      </c>
      <c r="C41" s="3" t="s">
        <v>101</v>
      </c>
      <c r="D41" s="3"/>
      <c r="E41" s="3" t="s">
        <v>63</v>
      </c>
      <c r="F41" s="3" t="s">
        <v>129</v>
      </c>
      <c r="G41" s="3" t="s">
        <v>102</v>
      </c>
      <c r="K41" s="3"/>
      <c r="L41" s="3"/>
      <c r="M41" s="3"/>
      <c r="N41" s="3"/>
      <c r="O41" s="3"/>
    </row>
    <row r="42" spans="1:15">
      <c r="A42" s="3" t="s">
        <v>16</v>
      </c>
      <c r="B42" s="3" t="s">
        <v>103</v>
      </c>
      <c r="C42" s="3" t="s">
        <v>105</v>
      </c>
      <c r="D42" s="3"/>
      <c r="E42" s="3" t="s">
        <v>49</v>
      </c>
      <c r="F42" s="3" t="s">
        <v>129</v>
      </c>
      <c r="G42" s="3" t="s">
        <v>65</v>
      </c>
      <c r="K42" s="3"/>
      <c r="L42" s="3"/>
      <c r="M42" s="3"/>
      <c r="N42" s="3"/>
      <c r="O42" s="3"/>
    </row>
    <row r="43" spans="1:15">
      <c r="A43" s="3" t="s">
        <v>16</v>
      </c>
      <c r="B43" s="3" t="s">
        <v>104</v>
      </c>
      <c r="C43" s="3" t="s">
        <v>106</v>
      </c>
      <c r="D43" s="3"/>
      <c r="E43" s="3" t="s">
        <v>107</v>
      </c>
      <c r="F43" s="3" t="s">
        <v>129</v>
      </c>
      <c r="G43" s="3" t="s">
        <v>66</v>
      </c>
      <c r="K43" s="3"/>
      <c r="L43" s="3"/>
      <c r="M43" s="3"/>
      <c r="N43" s="3"/>
      <c r="O43" s="3"/>
    </row>
    <row r="44" spans="1:15">
      <c r="A44" s="3" t="s">
        <v>16</v>
      </c>
      <c r="B44" s="3" t="s">
        <v>59</v>
      </c>
      <c r="C44" s="3" t="s">
        <v>60</v>
      </c>
      <c r="D44" s="3"/>
      <c r="E44" s="3" t="s">
        <v>61</v>
      </c>
      <c r="F44" s="3" t="s">
        <v>129</v>
      </c>
      <c r="G44" s="3" t="s">
        <v>108</v>
      </c>
      <c r="H44" s="3"/>
      <c r="I44" s="10" t="s">
        <v>124</v>
      </c>
      <c r="J44" s="10" t="s">
        <v>125</v>
      </c>
      <c r="K44" s="3"/>
      <c r="L44" s="3"/>
      <c r="M44" s="3"/>
      <c r="N44" s="3"/>
      <c r="O44" s="3"/>
    </row>
    <row r="45" spans="1:15">
      <c r="A45" s="3" t="s">
        <v>16</v>
      </c>
      <c r="B45" s="3" t="s">
        <v>67</v>
      </c>
      <c r="C45" s="3" t="s">
        <v>68</v>
      </c>
      <c r="D45" s="3"/>
      <c r="E45" s="3" t="s">
        <v>45</v>
      </c>
      <c r="F45" s="3" t="s">
        <v>129</v>
      </c>
      <c r="G45" s="3" t="s">
        <v>109</v>
      </c>
      <c r="H45" s="10" t="s">
        <v>161</v>
      </c>
      <c r="I45" s="3" t="s">
        <v>126</v>
      </c>
      <c r="J45" s="3"/>
      <c r="K45" s="3"/>
      <c r="L45" s="3"/>
      <c r="M45" s="3" t="s">
        <v>139</v>
      </c>
      <c r="N45" s="3" t="s">
        <v>15</v>
      </c>
      <c r="O45" s="3"/>
    </row>
    <row r="46" spans="1:15">
      <c r="A46" s="3" t="s">
        <v>16</v>
      </c>
      <c r="B46" s="3" t="s">
        <v>69</v>
      </c>
      <c r="C46" s="3" t="s">
        <v>70</v>
      </c>
      <c r="D46" s="3"/>
      <c r="E46" s="3" t="s">
        <v>45</v>
      </c>
      <c r="F46" s="3" t="s">
        <v>129</v>
      </c>
      <c r="G46" s="3" t="s">
        <v>110</v>
      </c>
      <c r="H46" s="3"/>
      <c r="I46" s="3" t="s">
        <v>111</v>
      </c>
      <c r="J46" s="3"/>
      <c r="K46" s="3"/>
      <c r="L46" s="3"/>
      <c r="M46" s="3" t="s">
        <v>140</v>
      </c>
      <c r="N46" s="3" t="s">
        <v>15</v>
      </c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J48" s="4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K49" s="3"/>
      <c r="L49" s="3"/>
      <c r="M49" s="3"/>
      <c r="N49" s="3"/>
      <c r="O49" s="3"/>
    </row>
    <row r="50" spans="1:15">
      <c r="A50" s="3"/>
      <c r="D50" s="3"/>
      <c r="E50" s="3"/>
      <c r="F50" s="3"/>
      <c r="G50" s="3"/>
      <c r="H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J51" s="4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workbookViewId="0"/>
  </sheetViews>
  <sheetFormatPr defaultRowHeight="14.4"/>
  <cols>
    <col min="1" max="1" width="12.578125" bestFit="1" customWidth="1"/>
    <col min="2" max="2" width="10.41796875" bestFit="1" customWidth="1"/>
    <col min="3" max="3" width="4.7890625" bestFit="1" customWidth="1"/>
    <col min="4" max="4" width="14.26171875" customWidth="1"/>
    <col min="5" max="5" width="6.26171875" customWidth="1"/>
    <col min="6" max="6" width="38.3125" style="9" customWidth="1"/>
    <col min="7" max="7" width="54" style="9" bestFit="1" customWidth="1"/>
    <col min="8" max="8" width="2.89453125" customWidth="1"/>
    <col min="9" max="9" width="10.578125" bestFit="1" customWidth="1"/>
    <col min="10" max="10" width="8.3671875" bestFit="1" customWidth="1"/>
    <col min="11" max="11" width="11.1015625" bestFit="1" customWidth="1"/>
    <col min="12" max="12" width="13.62890625" bestFit="1" customWidth="1"/>
    <col min="13" max="13" width="8.20703125" bestFit="1" customWidth="1"/>
  </cols>
  <sheetData>
    <row r="1" spans="1:13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8" t="s">
        <v>2</v>
      </c>
      <c r="G1" s="8" t="s">
        <v>11</v>
      </c>
      <c r="H1" s="6"/>
      <c r="I1" s="5" t="s">
        <v>77</v>
      </c>
      <c r="J1" s="5" t="s">
        <v>78</v>
      </c>
      <c r="K1" s="5" t="s">
        <v>79</v>
      </c>
      <c r="L1" s="5" t="s">
        <v>80</v>
      </c>
      <c r="M1" s="5" t="s">
        <v>81</v>
      </c>
    </row>
    <row r="2" spans="1:13">
      <c r="A2" t="s">
        <v>87</v>
      </c>
      <c r="B2" s="7" t="str">
        <f>"0x"&amp;DEC2HEX(_xlfn.BITLSHIFT(C2,21) + _xlfn.BITLSHIFT(D2,16),8)</f>
        <v>0x003F0000</v>
      </c>
      <c r="C2">
        <v>1</v>
      </c>
      <c r="D2">
        <v>31</v>
      </c>
      <c r="E2" t="s">
        <v>82</v>
      </c>
      <c r="F2" s="9" t="s">
        <v>141</v>
      </c>
      <c r="G2" s="9" t="s">
        <v>143</v>
      </c>
      <c r="H2" s="6"/>
      <c r="I2">
        <v>0</v>
      </c>
      <c r="J2" t="s">
        <v>144</v>
      </c>
      <c r="K2">
        <v>1</v>
      </c>
      <c r="L2" t="s">
        <v>83</v>
      </c>
      <c r="M2">
        <v>35</v>
      </c>
    </row>
    <row r="3" spans="1:13">
      <c r="A3" t="s">
        <v>129</v>
      </c>
      <c r="B3" s="7" t="str">
        <f t="shared" ref="B3" si="0">"0x"&amp;DEC2HEX(_xlfn.BITLSHIFT(C3,21) + _xlfn.BITLSHIFT(D3,16),8)</f>
        <v>0x005F0000</v>
      </c>
      <c r="C3">
        <v>2</v>
      </c>
      <c r="D3">
        <v>31</v>
      </c>
      <c r="E3" t="s">
        <v>82</v>
      </c>
      <c r="F3" s="9" t="s">
        <v>142</v>
      </c>
      <c r="H3" s="6"/>
      <c r="I3">
        <v>1</v>
      </c>
      <c r="J3" t="s">
        <v>145</v>
      </c>
      <c r="K3">
        <v>10</v>
      </c>
      <c r="L3" t="s">
        <v>84</v>
      </c>
      <c r="M3">
        <v>35</v>
      </c>
    </row>
    <row r="4" spans="1:13">
      <c r="F4"/>
      <c r="G4"/>
    </row>
    <row r="5" spans="1:13">
      <c r="F5"/>
      <c r="G5"/>
    </row>
    <row r="6" spans="1:13">
      <c r="F6"/>
      <c r="G6"/>
    </row>
    <row r="7" spans="1:13">
      <c r="F7"/>
      <c r="G7"/>
    </row>
    <row r="8" spans="1:13">
      <c r="F8"/>
      <c r="G8"/>
    </row>
    <row r="9" spans="1:13">
      <c r="F9"/>
      <c r="G9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Flight Telemetry</vt:lpstr>
      <vt:lpstr>Packets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Aldo Aguilar Nadalini</cp:lastModifiedBy>
  <dcterms:modified xsi:type="dcterms:W3CDTF">2026-06-18T18:18:49Z</dcterms:modified>
</cp:coreProperties>
</file>